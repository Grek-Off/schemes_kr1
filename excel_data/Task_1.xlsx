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3648" yWindow="558" windowWidth="21600" windowHeight="11388"/>
  </bookViews>
  <sheets>
    <sheet name="Лист1" sheetId="1" r:id="rId1"/>
  </sheets>
  <definedNames>
    <definedName name="_xlchart.v1.0" hidden="1">Лист1!$B$3:$J$3</definedName>
    <definedName name="_xlchart.v1.1" hidden="1">Лист1!$B$4:$J$4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5" i="1" l="1"/>
  <c r="Q5" i="1"/>
  <c r="R5" i="1"/>
  <c r="S5" i="1"/>
  <c r="T5" i="1"/>
  <c r="U5" i="1"/>
  <c r="V5" i="1"/>
  <c r="W5" i="1"/>
  <c r="O5" i="1"/>
  <c r="B4" i="1" a="1"/>
  <c r="B4" i="1" s="1"/>
  <c r="J4" i="1"/>
  <c r="I4" i="1"/>
  <c r="H4" i="1"/>
  <c r="G4" i="1"/>
  <c r="F4" i="1"/>
  <c r="E4" i="1"/>
  <c r="D4" i="1"/>
  <c r="C4" i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<sst xmlns="http://schemas.openxmlformats.org/spreadsheetml/2006/main" count="8" uniqueCount="7">
  <si>
    <t>Uвх(В)</t>
  </si>
  <si>
    <t>Uвых(В)</t>
  </si>
  <si>
    <t>Частота(Гц)</t>
  </si>
  <si>
    <t>k</t>
  </si>
  <si>
    <t>Uвх(B)</t>
  </si>
  <si>
    <t>Uвых(B)</t>
  </si>
  <si>
    <t>Частота(ГЦ)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</si>
</sst>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Резонансный</a:t>
            </a:r>
            <a:r>
              <a:rPr lang="ru-RU" baseline="0"/>
              <a:t> фильтр</a:t>
            </a:r>
            <a:endParaRPr lang="ru-RU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Лист1!$B$3:$J$3</c:f>
              <c:numCache>
                <c:formatCode>General</c:formatCode>
                <c:ptCount val="9"/>
                <c:pt idx="0">
                  <c:v>1</c:v>
                </c:pt>
                <c:pt idx="1">
                  <c:v>50</c:v>
                </c:pt>
                <c:pt idx="2">
                  <c:v>100</c:v>
                </c:pt>
                <c:pt idx="3">
                  <c:v>200</c:v>
                </c:pt>
                <c:pt idx="4">
                  <c:v>600</c:v>
                </c:pt>
                <c:pt idx="5">
                  <c:v>1500</c:v>
                </c:pt>
                <c:pt idx="6">
                  <c:v>2000</c:v>
                </c:pt>
                <c:pt idx="7">
                  <c:v>3000</c:v>
                </c:pt>
                <c:pt idx="8">
                  <c:v>5000</c:v>
                </c:pt>
              </c:numCache>
            </c:numRef>
          </c:xVal>
          <c:yVal>
            <c:numRef>
              <c:f>Лист1!$B$4:$J$4</c:f>
              <c:numCache>
                <c:formatCode>General</c:formatCode>
                <c:ptCount val="9"/>
                <c:pt idx="0">
                  <c:v>6.28E-3</c:v>
                </c:pt>
                <c:pt idx="1">
                  <c:v>0.29969999999999997</c:v>
                </c:pt>
                <c:pt idx="2">
                  <c:v>0.53220000000000001</c:v>
                </c:pt>
                <c:pt idx="3">
                  <c:v>0.78299999999999992</c:v>
                </c:pt>
                <c:pt idx="4">
                  <c:v>0.96750000000000003</c:v>
                </c:pt>
                <c:pt idx="5">
                  <c:v>0.99540000000000006</c:v>
                </c:pt>
                <c:pt idx="6">
                  <c:v>0.99780000000000002</c:v>
                </c:pt>
                <c:pt idx="7">
                  <c:v>0.99939999999999996</c:v>
                </c:pt>
                <c:pt idx="8">
                  <c:v>1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03D9-4CB5-AFCD-75561E1C50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4090664"/>
        <c:axId val="344091048"/>
      </c:scatterChart>
      <c:valAx>
        <c:axId val="344090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44091048"/>
        <c:crosses val="autoZero"/>
        <c:crossBetween val="midCat"/>
      </c:valAx>
      <c:valAx>
        <c:axId val="344091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440906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Сглаживающий</a:t>
            </a:r>
            <a:r>
              <a:rPr lang="ru-RU" baseline="0"/>
              <a:t> фильтр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Лист1!$O$4:$W$4</c:f>
              <c:numCache>
                <c:formatCode>General</c:formatCode>
                <c:ptCount val="9"/>
                <c:pt idx="0">
                  <c:v>1</c:v>
                </c:pt>
                <c:pt idx="1">
                  <c:v>50</c:v>
                </c:pt>
                <c:pt idx="2">
                  <c:v>100</c:v>
                </c:pt>
                <c:pt idx="3">
                  <c:v>200</c:v>
                </c:pt>
                <c:pt idx="4">
                  <c:v>600</c:v>
                </c:pt>
                <c:pt idx="5">
                  <c:v>1500</c:v>
                </c:pt>
                <c:pt idx="6">
                  <c:v>2000</c:v>
                </c:pt>
                <c:pt idx="7">
                  <c:v>3000</c:v>
                </c:pt>
                <c:pt idx="8">
                  <c:v>5000</c:v>
                </c:pt>
              </c:numCache>
            </c:numRef>
          </c:xVal>
          <c:yVal>
            <c:numRef>
              <c:f>Лист1!$O$5:$W$5</c:f>
              <c:numCache>
                <c:formatCode>General</c:formatCode>
                <c:ptCount val="9"/>
                <c:pt idx="0">
                  <c:v>0.5</c:v>
                </c:pt>
                <c:pt idx="1">
                  <c:v>0.49390000000000001</c:v>
                </c:pt>
                <c:pt idx="2">
                  <c:v>0.47700000000000004</c:v>
                </c:pt>
                <c:pt idx="3">
                  <c:v>0.42340000000000005</c:v>
                </c:pt>
                <c:pt idx="4">
                  <c:v>0.23430000000000001</c:v>
                </c:pt>
                <c:pt idx="5">
                  <c:v>0.1038</c:v>
                </c:pt>
                <c:pt idx="6">
                  <c:v>7.8600000000000003E-2</c:v>
                </c:pt>
                <c:pt idx="7">
                  <c:v>5.28E-2</c:v>
                </c:pt>
                <c:pt idx="8">
                  <c:v>3.1800000000000002E-2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589F-47B6-ACDA-25517BFD45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4156352"/>
        <c:axId val="344145528"/>
      </c:scatterChart>
      <c:valAx>
        <c:axId val="3441563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44145528"/>
        <c:crosses val="autoZero"/>
        <c:crossBetween val="midCat"/>
      </c:valAx>
      <c:valAx>
        <c:axId val="344145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441563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533400</xdr:colOff>
      <xdr:row>7</xdr:row>
      <xdr:rowOff>57150</xdr:rowOff>
    </xdr:from>
    <xdr:to>
      <xdr:col>7</xdr:col>
      <xdr:colOff>504825</xdr:colOff>
      <xdr:row>21</xdr:row>
      <xdr:rowOff>133350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xmlns="" id="{6CF926B3-F659-4A63-BB2B-66E3DA5C28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590550</xdr:colOff>
      <xdr:row>5</xdr:row>
      <xdr:rowOff>180975</xdr:rowOff>
    </xdr:from>
    <xdr:to>
      <xdr:col>20</xdr:col>
      <xdr:colOff>161925</xdr:colOff>
      <xdr:row>20</xdr:row>
      <xdr:rowOff>66675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xmlns="" id="{95A53F10-AA9D-49FF-87FF-FFD8369B9D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"/>
  <sheetViews>
    <sheetView tabSelected="1" workbookViewId="0">
      <selection activeCell="O4" sqref="O4:W5"/>
    </sheetView>
  </sheetViews>
  <sheetFormatPr defaultRowHeight="14.4" x14ac:dyDescent="0.55000000000000004"/>
  <cols>
    <col min="1" max="1" width="14.15625" customWidth="1"/>
    <col min="14" max="14" width="11" customWidth="1"/>
  </cols>
  <sheetData>
    <row r="1" spans="1:23" x14ac:dyDescent="0.55000000000000004">
      <c r="A1" t="s">
        <v>0</v>
      </c>
      <c r="B1" s="1">
        <v>100</v>
      </c>
      <c r="C1" s="1"/>
      <c r="D1" s="1"/>
      <c r="E1" s="1"/>
      <c r="F1" s="1"/>
      <c r="G1" s="1"/>
      <c r="H1" s="1"/>
      <c r="I1" s="1"/>
      <c r="J1" s="1"/>
    </row>
    <row r="2" spans="1:23" x14ac:dyDescent="0.55000000000000004">
      <c r="A2" t="s">
        <v>1</v>
      </c>
      <c r="B2">
        <v>0.628</v>
      </c>
      <c r="C2">
        <v>29.97</v>
      </c>
      <c r="D2">
        <v>53.22</v>
      </c>
      <c r="E2">
        <v>78.3</v>
      </c>
      <c r="F2">
        <v>96.75</v>
      </c>
      <c r="G2">
        <v>99.54</v>
      </c>
      <c r="H2">
        <v>99.78</v>
      </c>
      <c r="I2">
        <v>99.94</v>
      </c>
      <c r="J2">
        <v>100</v>
      </c>
      <c r="N2" t="s">
        <v>4</v>
      </c>
      <c r="O2" s="2">
        <v>100</v>
      </c>
      <c r="P2" s="2"/>
      <c r="Q2" s="2"/>
      <c r="R2" s="2"/>
      <c r="S2" s="2"/>
      <c r="T2" s="2"/>
      <c r="U2" s="2"/>
      <c r="V2" s="2"/>
      <c r="W2" s="2"/>
    </row>
    <row r="3" spans="1:23" x14ac:dyDescent="0.55000000000000004">
      <c r="A3" t="s">
        <v>2</v>
      </c>
      <c r="B3">
        <v>1</v>
      </c>
      <c r="C3">
        <v>50</v>
      </c>
      <c r="D3">
        <v>100</v>
      </c>
      <c r="E3">
        <v>200</v>
      </c>
      <c r="F3">
        <v>600</v>
      </c>
      <c r="G3">
        <v>1500</v>
      </c>
      <c r="H3">
        <v>2000</v>
      </c>
      <c r="I3">
        <v>3000</v>
      </c>
      <c r="J3">
        <v>5000</v>
      </c>
      <c r="N3" t="s">
        <v>5</v>
      </c>
      <c r="O3">
        <v>50</v>
      </c>
      <c r="P3">
        <v>49.39</v>
      </c>
      <c r="Q3">
        <v>47.7</v>
      </c>
      <c r="R3">
        <v>42.34</v>
      </c>
      <c r="S3">
        <v>23.43</v>
      </c>
      <c r="T3">
        <v>10.38</v>
      </c>
      <c r="U3">
        <v>7.86</v>
      </c>
      <c r="V3">
        <v>5.28</v>
      </c>
      <c r="W3">
        <v>3.18</v>
      </c>
    </row>
    <row r="4" spans="1:23" x14ac:dyDescent="0.55000000000000004">
      <c r="A4" t="s">
        <v>3</v>
      </c>
      <c r="B4" cm="1">
        <f t="array" ref="B4:J4">B2:J2/$B$1</f>
        <v>6.28E-3</v>
      </c>
      <c r="C4">
        <v>0.29969999999999997</v>
      </c>
      <c r="D4">
        <v>0.53220000000000001</v>
      </c>
      <c r="E4">
        <v>0.78299999999999992</v>
      </c>
      <c r="F4">
        <v>0.96750000000000003</v>
      </c>
      <c r="G4">
        <v>0.99540000000000006</v>
      </c>
      <c r="H4">
        <v>0.99780000000000002</v>
      </c>
      <c r="I4">
        <v>0.99939999999999996</v>
      </c>
      <c r="J4">
        <v>1</v>
      </c>
      <c r="N4" t="s">
        <v>6</v>
      </c>
      <c r="O4">
        <v>1</v>
      </c>
      <c r="P4">
        <v>50</v>
      </c>
      <c r="Q4">
        <v>100</v>
      </c>
      <c r="R4">
        <v>200</v>
      </c>
      <c r="S4">
        <v>600</v>
      </c>
      <c r="T4">
        <v>1500</v>
      </c>
      <c r="U4">
        <v>2000</v>
      </c>
      <c r="V4">
        <v>3000</v>
      </c>
      <c r="W4">
        <v>5000</v>
      </c>
    </row>
    <row r="5" spans="1:23" x14ac:dyDescent="0.55000000000000004">
      <c r="N5" t="s">
        <v>3</v>
      </c>
      <c r="O5">
        <f>O3/$O$2</f>
        <v>0.5</v>
      </c>
      <c r="P5">
        <f t="shared" ref="P5:W5" si="0">P3/$O$2</f>
        <v>0.49390000000000001</v>
      </c>
      <c r="Q5">
        <f t="shared" si="0"/>
        <v>0.47700000000000004</v>
      </c>
      <c r="R5">
        <f t="shared" si="0"/>
        <v>0.42340000000000005</v>
      </c>
      <c r="S5">
        <f t="shared" si="0"/>
        <v>0.23430000000000001</v>
      </c>
      <c r="T5">
        <f t="shared" si="0"/>
        <v>0.1038</v>
      </c>
      <c r="U5">
        <f t="shared" si="0"/>
        <v>7.8600000000000003E-2</v>
      </c>
      <c r="V5">
        <f t="shared" si="0"/>
        <v>5.28E-2</v>
      </c>
      <c r="W5">
        <f t="shared" si="0"/>
        <v>3.1800000000000002E-2</v>
      </c>
    </row>
  </sheetData>
  <mergeCells count="2">
    <mergeCell ref="B1:J1"/>
    <mergeCell ref="O2:W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vsevolod tarkhanov</dc:creator>
  <cp:lastModifiedBy>Пользователь</cp:lastModifiedBy>
  <dcterms:created xsi:type="dcterms:W3CDTF">2015-06-05T18:19:34Z</dcterms:created>
  <dcterms:modified xsi:type="dcterms:W3CDTF">2021-03-23T08:27:16Z</dcterms:modified>
</cp:coreProperties>
</file>